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ameer/Library/Mobile Documents/com~apple~CloudDocs/Careers/Website/"/>
    </mc:Choice>
  </mc:AlternateContent>
  <xr:revisionPtr revIDLastSave="0" documentId="13_ncr:1_{85D59155-98F4-4A43-AEBF-CF43CF29AF0E}" xr6:coauthVersionLast="47" xr6:coauthVersionMax="47" xr10:uidLastSave="{00000000-0000-0000-0000-000000000000}"/>
  <bookViews>
    <workbookView xWindow="0" yWindow="0" windowWidth="38400" windowHeight="21600" xr2:uid="{FED819D8-2C86-CE49-A485-AAAA59E5F58D}"/>
  </bookViews>
  <sheets>
    <sheet name="Salary Breakdown" sheetId="2" r:id="rId1"/>
    <sheet name="Net sal graph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" l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3" i="3"/>
  <c r="C3" i="3" s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J3" i="3"/>
  <c r="H3" i="3"/>
  <c r="F3" i="3"/>
  <c r="J2" i="3"/>
  <c r="C2" i="3"/>
  <c r="H16" i="2"/>
  <c r="I16" i="2" s="1"/>
  <c r="H14" i="2"/>
  <c r="G12" i="2"/>
  <c r="G11" i="2"/>
  <c r="I11" i="2" s="1"/>
  <c r="I10" i="2"/>
  <c r="H6" i="2"/>
  <c r="B6" i="2"/>
  <c r="B8" i="2" s="1"/>
  <c r="C8" i="2" s="1"/>
  <c r="H12" i="2" s="1"/>
  <c r="H5" i="2"/>
  <c r="C3" i="2"/>
  <c r="B4" i="2"/>
  <c r="G9" i="3" l="1"/>
  <c r="G13" i="3"/>
  <c r="G8" i="3"/>
  <c r="I11" i="3"/>
  <c r="I7" i="3"/>
  <c r="I18" i="3"/>
  <c r="I14" i="3"/>
  <c r="I10" i="3"/>
  <c r="I6" i="3"/>
  <c r="I8" i="3"/>
  <c r="I12" i="3"/>
  <c r="I17" i="3"/>
  <c r="I13" i="3"/>
  <c r="I9" i="3"/>
  <c r="I4" i="3"/>
  <c r="I16" i="3"/>
  <c r="I5" i="3"/>
  <c r="I19" i="3"/>
  <c r="I25" i="3"/>
  <c r="I22" i="3"/>
  <c r="I15" i="3"/>
  <c r="I23" i="3"/>
  <c r="I20" i="3"/>
  <c r="I24" i="3"/>
  <c r="I21" i="3"/>
  <c r="J4" i="3"/>
  <c r="C4" i="3"/>
  <c r="G12" i="3"/>
  <c r="I3" i="3"/>
  <c r="G4" i="3"/>
  <c r="G5" i="3"/>
  <c r="G3" i="3"/>
  <c r="G6" i="3"/>
  <c r="G10" i="3"/>
  <c r="G14" i="3"/>
  <c r="G15" i="3"/>
  <c r="G16" i="3"/>
  <c r="G17" i="3"/>
  <c r="G18" i="3"/>
  <c r="G19" i="3"/>
  <c r="G20" i="3"/>
  <c r="G21" i="3"/>
  <c r="G22" i="3"/>
  <c r="G23" i="3"/>
  <c r="G24" i="3"/>
  <c r="G25" i="3"/>
  <c r="G7" i="3"/>
  <c r="G11" i="3"/>
  <c r="C4" i="2"/>
  <c r="B5" i="2"/>
  <c r="C5" i="3" l="1"/>
  <c r="J5" i="3"/>
  <c r="B7" i="2"/>
  <c r="C5" i="2"/>
  <c r="J6" i="3" l="1"/>
  <c r="C6" i="3"/>
  <c r="B9" i="2"/>
  <c r="B10" i="2"/>
  <c r="C10" i="2" s="1"/>
  <c r="C7" i="2"/>
  <c r="E4" i="2"/>
  <c r="E3" i="2" s="1"/>
  <c r="E5" i="2" s="1"/>
  <c r="C7" i="3" l="1"/>
  <c r="J7" i="3"/>
  <c r="B27" i="2"/>
  <c r="B13" i="2"/>
  <c r="C13" i="2" s="1"/>
  <c r="B14" i="2"/>
  <c r="C14" i="2" s="1"/>
  <c r="B12" i="2"/>
  <c r="D13" i="2"/>
  <c r="E13" i="2" s="1"/>
  <c r="D11" i="2"/>
  <c r="E11" i="2" s="1"/>
  <c r="D12" i="2"/>
  <c r="E12" i="2" s="1"/>
  <c r="C9" i="2"/>
  <c r="J8" i="3" l="1"/>
  <c r="C8" i="3"/>
  <c r="C11" i="2"/>
  <c r="B11" i="2" s="1"/>
  <c r="B28" i="2" s="1"/>
  <c r="B15" i="2"/>
  <c r="C15" i="2" s="1"/>
  <c r="C12" i="2"/>
  <c r="J9" i="3" l="1"/>
  <c r="C9" i="3"/>
  <c r="B19" i="2"/>
  <c r="B21" i="2" s="1"/>
  <c r="B22" i="2" s="1"/>
  <c r="J10" i="3" l="1"/>
  <c r="C10" i="3"/>
  <c r="B26" i="2"/>
  <c r="B20" i="2"/>
  <c r="C11" i="3" l="1"/>
  <c r="J11" i="3"/>
  <c r="B25" i="2"/>
  <c r="C12" i="3" l="1"/>
  <c r="J12" i="3"/>
  <c r="C13" i="3" l="1"/>
  <c r="J13" i="3"/>
  <c r="C14" i="3" l="1"/>
  <c r="J14" i="3"/>
  <c r="J15" i="3" l="1"/>
  <c r="C15" i="3"/>
  <c r="C16" i="3" l="1"/>
  <c r="J16" i="3"/>
  <c r="J17" i="3" l="1"/>
  <c r="C17" i="3"/>
  <c r="C18" i="3" l="1"/>
  <c r="J18" i="3"/>
  <c r="C19" i="3" l="1"/>
  <c r="J19" i="3"/>
  <c r="J20" i="3" l="1"/>
  <c r="C20" i="3"/>
  <c r="J21" i="3" l="1"/>
  <c r="C21" i="3"/>
  <c r="C22" i="3" l="1"/>
  <c r="J22" i="3"/>
  <c r="C23" i="3" l="1"/>
  <c r="J23" i="3"/>
  <c r="C24" i="3" l="1"/>
  <c r="J24" i="3"/>
  <c r="J25" i="3" l="1"/>
  <c r="C25" i="3"/>
</calcChain>
</file>

<file path=xl/sharedStrings.xml><?xml version="1.0" encoding="utf-8"?>
<sst xmlns="http://schemas.openxmlformats.org/spreadsheetml/2006/main" count="60" uniqueCount="56">
  <si>
    <t>Salary</t>
  </si>
  <si>
    <t>Data</t>
  </si>
  <si>
    <t>Monthly</t>
  </si>
  <si>
    <t>Base</t>
  </si>
  <si>
    <t>lower</t>
  </si>
  <si>
    <t>upper</t>
  </si>
  <si>
    <t>In band</t>
  </si>
  <si>
    <t>NI tax</t>
  </si>
  <si>
    <t>100k</t>
  </si>
  <si>
    <t>point 1</t>
  </si>
  <si>
    <t>point 2</t>
  </si>
  <si>
    <t>Take home</t>
  </si>
  <si>
    <t>(k)</t>
  </si>
  <si>
    <t>Differences</t>
  </si>
  <si>
    <t>Cumulative Differences</t>
  </si>
  <si>
    <t>% take home</t>
  </si>
  <si>
    <t>Yearly</t>
  </si>
  <si>
    <t>Plan 2 repayment</t>
  </si>
  <si>
    <t>Postgrad repayment</t>
  </si>
  <si>
    <t>National Insurance</t>
  </si>
  <si>
    <t>Take home pay</t>
  </si>
  <si>
    <t>Monthly take home pay</t>
  </si>
  <si>
    <t>Weekly pay</t>
  </si>
  <si>
    <t>Hourly pay</t>
  </si>
  <si>
    <t>% of gross salary given  to taxes, interest,  national insurance or pensions</t>
  </si>
  <si>
    <t>% of salary post pension deduction given to taxes, interest, national insurance or pensions</t>
  </si>
  <si>
    <t>% of salary post pension deduction given to interest (student loan repayments)</t>
  </si>
  <si>
    <t>% of salary post pension deduction given to taxes</t>
  </si>
  <si>
    <t>Effective tax rates</t>
  </si>
  <si>
    <t>Take home pay details</t>
  </si>
  <si>
    <t>Salary breakdown</t>
  </si>
  <si>
    <t>Pension payment rate (salary sacrifice)</t>
  </si>
  <si>
    <t>Plan 2 threshold</t>
  </si>
  <si>
    <t>Postgrad repayment threshold</t>
  </si>
  <si>
    <t>Plan 2 monthly threshold</t>
  </si>
  <si>
    <t>Postgrad monthly repayment threshold</t>
  </si>
  <si>
    <t>Personal allowance</t>
  </si>
  <si>
    <t>National Insurance Bands:</t>
  </si>
  <si>
    <t>Taxable income</t>
  </si>
  <si>
    <t>Monthly taxable income</t>
  </si>
  <si>
    <t>Annual salary</t>
  </si>
  <si>
    <t>Pension payments</t>
  </si>
  <si>
    <t>Base - pension payments</t>
  </si>
  <si>
    <t>Bonus amount</t>
  </si>
  <si>
    <t>Base + bonus - pension</t>
  </si>
  <si>
    <t>Base + bonus</t>
  </si>
  <si>
    <t>basic rate tax</t>
  </si>
  <si>
    <t>higher rate tax</t>
  </si>
  <si>
    <t>additional tax</t>
  </si>
  <si>
    <t>Total income tax</t>
  </si>
  <si>
    <t>Monthly values</t>
  </si>
  <si>
    <t>KEY</t>
  </si>
  <si>
    <t>Input cell</t>
  </si>
  <si>
    <t>Output cell</t>
  </si>
  <si>
    <t>Change if you need to change model parameters</t>
  </si>
  <si>
    <t>Taxable income and current personal allowance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</si>
</sst>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£&quot;#,##0_);\(&quot;£&quot;#,##0\)"/>
    <numFmt numFmtId="7" formatCode="&quot;£&quot;#,##0.00_);\(&quot;£&quot;#,##0.00\)"/>
    <numFmt numFmtId="44" formatCode="_(&quot;£&quot;* #,##0.00_);_(&quot;£&quot;* \(#,##0.00\);_(&quot;£&quot;* &quot;-&quot;??_);_(@_)"/>
    <numFmt numFmtId="164" formatCode="_(&quot;£&quot;* #,##0_);_(&quot;£&quot;* \(#,##0\);_(&quot;£&quot;* &quot;-&quot;??_);_(@_)"/>
    <numFmt numFmtId="165" formatCode="_(&quot;£&quot;* #,##0.0_);_(&quot;£&quot;* \(#,##0.0\);_(&quot;£&quot;* &quot;-&quot;?_);_(@_)"/>
    <numFmt numFmtId="166" formatCode="0.0%"/>
    <numFmt numFmtId="167" formatCode="_([$$-409]* #,##0_);_([$$-409]* \(#,##0\);_([$$-409]* &quot;-&quot;??_);_(@_)"/>
    <numFmt numFmtId="168" formatCode="_-[$£-809]* #,##0_-;\-[$£-809]* #,##0_-;_-[$£-809]* &quot;-&quot;??_-;_-@_-"/>
    <numFmt numFmtId="169" formatCode="0.0"/>
  </numFmts>
  <fonts count="1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3"/>
      <color theme="1"/>
      <name val="Helvetica Neue"/>
      <family val="2"/>
    </font>
    <font>
      <sz val="8"/>
      <color theme="1"/>
      <name val="Aptos Narrow"/>
      <family val="2"/>
      <scheme val="minor"/>
    </font>
    <font>
      <sz val="12"/>
      <color theme="0" tint="-0.499984740745262"/>
      <name val="Aptos Narrow"/>
      <family val="2"/>
      <scheme val="minor"/>
    </font>
    <font>
      <sz val="12"/>
      <color theme="0" tint="-0.499984740745262"/>
      <name val="Aptos Narrow"/>
      <scheme val="minor"/>
    </font>
    <font>
      <sz val="13.2"/>
      <color rgb="FF000000"/>
      <name val="Aptos Narrow"/>
    </font>
    <font>
      <sz val="12"/>
      <color rgb="FF000000"/>
      <name val="Aptos Narrow"/>
    </font>
    <font>
      <sz val="8"/>
      <color theme="1"/>
      <name val="Aptos Narrow"/>
      <scheme val="minor"/>
    </font>
    <font>
      <sz val="14"/>
      <color theme="1"/>
      <name val="Aptos Narrow"/>
      <family val="2"/>
      <scheme val="minor"/>
    </font>
    <font>
      <sz val="12"/>
      <color theme="1"/>
      <name val="Aptos Narrow"/>
      <scheme val="minor"/>
    </font>
    <font>
      <sz val="1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9">
    <xf numFmtId="0" fontId="0" fillId="0" borderId="0" xfId="0"/>
    <xf numFmtId="5" fontId="0" fillId="0" borderId="0" xfId="0" applyNumberFormat="1"/>
    <xf numFmtId="7" fontId="0" fillId="2" borderId="0" xfId="0" applyNumberFormat="1" applyFill="1"/>
    <xf numFmtId="164" fontId="0" fillId="0" borderId="0" xfId="0" applyNumberFormat="1"/>
    <xf numFmtId="44" fontId="0" fillId="0" borderId="0" xfId="0" applyNumberFormat="1"/>
    <xf numFmtId="44" fontId="0" fillId="2" borderId="0" xfId="0" applyNumberFormat="1" applyFill="1"/>
    <xf numFmtId="0" fontId="2" fillId="0" borderId="0" xfId="0" applyFont="1"/>
    <xf numFmtId="0" fontId="0" fillId="0" borderId="0" xfId="0" quotePrefix="1"/>
    <xf numFmtId="44" fontId="0" fillId="0" borderId="0" xfId="1" applyFont="1" applyBorder="1"/>
    <xf numFmtId="165" fontId="0" fillId="0" borderId="0" xfId="0" applyNumberFormat="1"/>
    <xf numFmtId="164" fontId="0" fillId="3" borderId="0" xfId="0" applyNumberFormat="1" applyFill="1"/>
    <xf numFmtId="44" fontId="0" fillId="3" borderId="0" xfId="0" applyNumberFormat="1" applyFill="1"/>
    <xf numFmtId="9" fontId="0" fillId="0" borderId="0" xfId="2" applyFont="1"/>
    <xf numFmtId="44" fontId="0" fillId="0" borderId="0" xfId="1" applyFont="1"/>
    <xf numFmtId="0" fontId="3" fillId="0" borderId="0" xfId="0" applyFont="1" applyAlignment="1">
      <alignment wrapText="1"/>
    </xf>
    <xf numFmtId="7" fontId="0" fillId="0" borderId="0" xfId="0" applyNumberFormat="1"/>
    <xf numFmtId="0" fontId="4" fillId="0" borderId="0" xfId="0" applyFont="1"/>
    <xf numFmtId="5" fontId="0" fillId="2" borderId="0" xfId="0" applyNumberFormat="1" applyFill="1"/>
    <xf numFmtId="5" fontId="0" fillId="4" borderId="0" xfId="0" applyNumberFormat="1" applyFill="1"/>
    <xf numFmtId="5" fontId="4" fillId="0" borderId="0" xfId="0" applyNumberFormat="1" applyFont="1"/>
    <xf numFmtId="166" fontId="4" fillId="0" borderId="0" xfId="2" applyNumberFormat="1" applyFont="1"/>
    <xf numFmtId="166" fontId="0" fillId="0" borderId="0" xfId="2" applyNumberFormat="1" applyFont="1"/>
    <xf numFmtId="167" fontId="0" fillId="0" borderId="0" xfId="0" applyNumberFormat="1"/>
    <xf numFmtId="168" fontId="0" fillId="0" borderId="0" xfId="0" applyNumberFormat="1"/>
    <xf numFmtId="5" fontId="5" fillId="0" borderId="0" xfId="0" applyNumberFormat="1" applyFont="1"/>
    <xf numFmtId="169" fontId="0" fillId="0" borderId="0" xfId="0" applyNumberFormat="1"/>
    <xf numFmtId="0" fontId="0" fillId="0" borderId="0" xfId="0" applyAlignment="1">
      <alignment horizontal="center"/>
    </xf>
    <xf numFmtId="0" fontId="8" fillId="0" borderId="0" xfId="0" applyFont="1" applyAlignment="1">
      <alignment wrapText="1"/>
    </xf>
    <xf numFmtId="9" fontId="9" fillId="0" borderId="0" xfId="2" applyFont="1"/>
    <xf numFmtId="0" fontId="0" fillId="5" borderId="0" xfId="0" applyFill="1" applyAlignment="1">
      <alignment horizontal="center"/>
    </xf>
    <xf numFmtId="0" fontId="10" fillId="0" borderId="0" xfId="0" applyFont="1"/>
    <xf numFmtId="9" fontId="11" fillId="2" borderId="0" xfId="2" applyFont="1" applyFill="1" applyBorder="1"/>
    <xf numFmtId="0" fontId="0" fillId="0" borderId="0" xfId="0" applyAlignment="1">
      <alignment wrapText="1"/>
    </xf>
    <xf numFmtId="0" fontId="0" fillId="3" borderId="0" xfId="0" applyFill="1"/>
    <xf numFmtId="0" fontId="0" fillId="6" borderId="0" xfId="0" applyFill="1"/>
    <xf numFmtId="164" fontId="0" fillId="6" borderId="0" xfId="1" applyNumberFormat="1" applyFont="1" applyFill="1" applyBorder="1"/>
    <xf numFmtId="164" fontId="0" fillId="6" borderId="0" xfId="0" applyNumberFormat="1" applyFill="1"/>
    <xf numFmtId="9" fontId="0" fillId="6" borderId="0" xfId="0" applyNumberFormat="1" applyFill="1"/>
    <xf numFmtId="44" fontId="0" fillId="6" borderId="0" xfId="1" applyFont="1" applyFill="1" applyBorder="1"/>
  </cellXfs>
  <cellStyles count="3">
    <cellStyle name="Currency" xfId="1" builtinId="4"/>
    <cellStyle name="Normal" xfId="0" builtinId="0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400"/>
              <a:t>How Take</a:t>
            </a:r>
            <a:r>
              <a:rPr lang="en-GB" sz="2400" baseline="0"/>
              <a:t> Home Pay Changes with Gross Salary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DC0-8343-978A-CEF3AAAE26D3}"/>
              </c:ext>
            </c:extLst>
          </c:dPt>
          <c:xVal>
            <c:numRef>
              <c:f>'Net sal graph'!$C$2:$C$25</c:f>
              <c:numCache>
                <c:formatCode>0.0</c:formatCode>
                <c:ptCount val="2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</c:numCache>
            </c:numRef>
          </c:xVal>
          <c:yVal>
            <c:numRef>
              <c:f>'Net sal graph'!$E$2:$E$25</c:f>
              <c:numCache>
                <c:formatCode>"£"#,##0_);\("£"#,##0\)</c:formatCode>
                <c:ptCount val="24"/>
                <c:pt idx="0">
                  <c:v>775</c:v>
                </c:pt>
                <c:pt idx="1">
                  <c:v>1409.3400000000001</c:v>
                </c:pt>
                <c:pt idx="2">
                  <c:v>1932.8400000000001</c:v>
                </c:pt>
                <c:pt idx="3">
                  <c:v>2378.8650000000002</c:v>
                </c:pt>
                <c:pt idx="4">
                  <c:v>2820.6149999999998</c:v>
                </c:pt>
                <c:pt idx="5">
                  <c:v>3197.8583333333336</c:v>
                </c:pt>
                <c:pt idx="6">
                  <c:v>3531.1083333333336</c:v>
                </c:pt>
                <c:pt idx="7">
                  <c:v>3864.3583333333336</c:v>
                </c:pt>
                <c:pt idx="8">
                  <c:v>4197.6083333333336</c:v>
                </c:pt>
                <c:pt idx="9">
                  <c:v>4530.8583333333336</c:v>
                </c:pt>
                <c:pt idx="10">
                  <c:v>4825.7750000000005</c:v>
                </c:pt>
                <c:pt idx="11">
                  <c:v>5004.0250000000005</c:v>
                </c:pt>
                <c:pt idx="12">
                  <c:v>5182.2750000000005</c:v>
                </c:pt>
                <c:pt idx="13">
                  <c:v>5423.7750000000005</c:v>
                </c:pt>
                <c:pt idx="14">
                  <c:v>5718.2750000000005</c:v>
                </c:pt>
                <c:pt idx="15">
                  <c:v>6012.7750000000005</c:v>
                </c:pt>
                <c:pt idx="16">
                  <c:v>6307.2750000000005</c:v>
                </c:pt>
                <c:pt idx="17">
                  <c:v>6601.7750000000005</c:v>
                </c:pt>
                <c:pt idx="18">
                  <c:v>6896.2750000000005</c:v>
                </c:pt>
                <c:pt idx="19">
                  <c:v>7190.7750000000005</c:v>
                </c:pt>
                <c:pt idx="20">
                  <c:v>7485.2750000000005</c:v>
                </c:pt>
                <c:pt idx="21">
                  <c:v>7779.7750000000005</c:v>
                </c:pt>
                <c:pt idx="22">
                  <c:v>8074.2750000000005</c:v>
                </c:pt>
                <c:pt idx="23">
                  <c:v>8368.7749999999996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C0-8343-978A-CEF3AAAE2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878991"/>
        <c:axId val="285880703"/>
      </c:scatterChart>
      <c:valAx>
        <c:axId val="285878991"/>
        <c:scaling>
          <c:orientation val="minMax"/>
          <c:max val="252"/>
          <c:min val="9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400"/>
                  <a:t>Gross</a:t>
                </a:r>
                <a:r>
                  <a:rPr lang="en-GB" sz="2400" baseline="0"/>
                  <a:t> Salary (k)</a:t>
                </a:r>
                <a:endParaRPr lang="en-GB" sz="2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5880703"/>
        <c:crosses val="autoZero"/>
        <c:crossBetween val="midCat"/>
        <c:majorUnit val="24.25"/>
      </c:valAx>
      <c:valAx>
        <c:axId val="285880703"/>
        <c:scaling>
          <c:orientation val="minMax"/>
          <c:max val="8787.213749999999"/>
          <c:min val="736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400"/>
                  <a:t>Take home monthly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_);\(&quot;£&quot;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5878991"/>
        <c:crosses val="autoZero"/>
        <c:crossBetween val="midCat"/>
        <c:majorUnit val="805.0963749999998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309939</xdr:colOff>
      <xdr:row>1</xdr:row>
      <xdr:rowOff>27216</xdr:rowOff>
    </xdr:from>
    <xdr:to>
      <xdr:col>24</xdr:col>
      <xdr:colOff>592666</xdr:colOff>
      <xdr:row>30</xdr:row>
      <xdr:rowOff>45358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932844-00D0-0D44-8ADB-1C07A22DC2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31</xdr:row>
          <xdr:rowOff>101600</xdr:rowOff>
        </xdr:from>
        <xdr:to>
          <xdr:col>13</xdr:col>
          <xdr:colOff>292100</xdr:colOff>
          <xdr:row>33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320" b="0" i="0" u="none" strike="noStrike" baseline="0">
                  <a:solidFill>
                    <a:srgbClr val="000000"/>
                  </a:solidFill>
                  <a:latin typeface="Aptos Narrow" charset="0"/>
                </a:rPr>
                <a:t>Adjust Graph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30</xdr:row>
          <xdr:rowOff>139700</xdr:rowOff>
        </xdr:from>
        <xdr:to>
          <xdr:col>15</xdr:col>
          <xdr:colOff>711200</xdr:colOff>
          <xdr:row>33</xdr:row>
          <xdr:rowOff>165100</xdr:rowOff>
        </xdr:to>
        <xdr:sp macro="" textlink="">
          <xdr:nvSpPr>
            <xdr:cNvPr id="2050" name="Button 2" descr="Button 4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Calculate Take Home Salaries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3CA9D-57F0-DD49-95EC-ED1E869FDCA1}">
  <sheetPr codeName="Sheet2"/>
  <dimension ref="A1:O32"/>
  <sheetViews>
    <sheetView tabSelected="1" zoomScale="150" zoomScaleNormal="150" workbookViewId="0">
      <selection activeCell="D21" sqref="D21"/>
    </sheetView>
  </sheetViews>
  <sheetFormatPr baseColWidth="10" defaultColWidth="10.83203125" defaultRowHeight="16" x14ac:dyDescent="0.2"/>
  <cols>
    <col min="1" max="1" width="21.1640625" bestFit="1" customWidth="1"/>
    <col min="2" max="2" width="14.6640625" bestFit="1" customWidth="1"/>
    <col min="3" max="3" width="12.33203125" bestFit="1" customWidth="1"/>
    <col min="4" max="4" width="22" bestFit="1" customWidth="1"/>
    <col min="5" max="5" width="17" customWidth="1"/>
    <col min="6" max="6" width="12.33203125" bestFit="1" customWidth="1"/>
    <col min="7" max="7" width="33" bestFit="1" customWidth="1"/>
    <col min="8" max="8" width="14.1640625" bestFit="1" customWidth="1"/>
    <col min="9" max="9" width="15" bestFit="1" customWidth="1"/>
    <col min="10" max="11" width="14.1640625" bestFit="1" customWidth="1"/>
    <col min="12" max="12" width="11.5" bestFit="1" customWidth="1"/>
  </cols>
  <sheetData>
    <row r="1" spans="1:15" x14ac:dyDescent="0.2">
      <c r="A1" s="29" t="s">
        <v>30</v>
      </c>
      <c r="B1" s="29"/>
      <c r="G1" s="29" t="s">
        <v>1</v>
      </c>
      <c r="H1" s="29"/>
      <c r="I1" s="29"/>
      <c r="O1" s="1"/>
    </row>
    <row r="2" spans="1:15" x14ac:dyDescent="0.2">
      <c r="A2" t="s">
        <v>40</v>
      </c>
      <c r="C2" t="s">
        <v>50</v>
      </c>
      <c r="D2" s="29" t="s">
        <v>55</v>
      </c>
      <c r="E2" s="29"/>
      <c r="G2" t="s">
        <v>31</v>
      </c>
      <c r="H2" s="31">
        <v>7.0000000000000007E-2</v>
      </c>
      <c r="O2" s="1"/>
    </row>
    <row r="3" spans="1:15" x14ac:dyDescent="0.2">
      <c r="A3" t="s">
        <v>3</v>
      </c>
      <c r="B3" s="2">
        <v>10000</v>
      </c>
      <c r="C3" s="3">
        <f>B3/12</f>
        <v>833.33333333333337</v>
      </c>
      <c r="D3" t="s">
        <v>38</v>
      </c>
      <c r="E3" s="3">
        <f>MAX(B7-E4,0)</f>
        <v>0</v>
      </c>
      <c r="F3" s="3"/>
      <c r="G3" t="s">
        <v>32</v>
      </c>
      <c r="H3" s="35">
        <v>28470</v>
      </c>
      <c r="O3" s="1"/>
    </row>
    <row r="4" spans="1:15" x14ac:dyDescent="0.2">
      <c r="A4" t="s">
        <v>41</v>
      </c>
      <c r="B4" s="3">
        <f>-$H$2*$B$3</f>
        <v>-700.00000000000011</v>
      </c>
      <c r="C4" s="3">
        <f>B4/12</f>
        <v>-58.333333333333343</v>
      </c>
      <c r="D4" t="s">
        <v>36</v>
      </c>
      <c r="E4" s="3">
        <f>MIN(MAX($H$15-(($B$7-$H$14)/2),0),$H$15)</f>
        <v>12570</v>
      </c>
      <c r="F4" s="3"/>
      <c r="G4" t="s">
        <v>33</v>
      </c>
      <c r="H4" s="36">
        <v>21000</v>
      </c>
      <c r="N4" s="1"/>
    </row>
    <row r="5" spans="1:15" x14ac:dyDescent="0.2">
      <c r="A5" t="s">
        <v>42</v>
      </c>
      <c r="B5" s="4">
        <f>$B$3+$B$4</f>
        <v>9300</v>
      </c>
      <c r="C5" s="3">
        <f>B5/12</f>
        <v>775</v>
      </c>
      <c r="D5" s="3" t="s">
        <v>39</v>
      </c>
      <c r="E5" s="3">
        <f>E3/12</f>
        <v>0</v>
      </c>
      <c r="F5" s="3"/>
      <c r="G5" t="s">
        <v>34</v>
      </c>
      <c r="H5" s="3">
        <f>H3/12</f>
        <v>2372.5</v>
      </c>
      <c r="N5" s="1"/>
    </row>
    <row r="6" spans="1:15" ht="17" x14ac:dyDescent="0.2">
      <c r="A6" t="s">
        <v>43</v>
      </c>
      <c r="B6" s="3">
        <f>$C$6*12</f>
        <v>0</v>
      </c>
      <c r="C6" s="5">
        <v>0</v>
      </c>
      <c r="D6" s="4"/>
      <c r="E6" s="3"/>
      <c r="G6" t="s">
        <v>35</v>
      </c>
      <c r="H6" s="3">
        <f>H4/12</f>
        <v>1750</v>
      </c>
      <c r="L6" s="6"/>
      <c r="N6" s="1"/>
    </row>
    <row r="7" spans="1:15" x14ac:dyDescent="0.2">
      <c r="A7" s="7" t="s">
        <v>44</v>
      </c>
      <c r="B7" s="4">
        <f>$B$5+$B$6</f>
        <v>9300</v>
      </c>
      <c r="C7" s="4">
        <f>$B$7/12</f>
        <v>775</v>
      </c>
      <c r="E7" s="4"/>
      <c r="G7" s="30" t="s">
        <v>37</v>
      </c>
      <c r="N7" s="1"/>
    </row>
    <row r="8" spans="1:15" x14ac:dyDescent="0.2">
      <c r="A8" s="7" t="s">
        <v>45</v>
      </c>
      <c r="B8" s="4">
        <f>B3+B6</f>
        <v>10000</v>
      </c>
      <c r="C8" s="4">
        <f>B8/12</f>
        <v>833.33333333333337</v>
      </c>
      <c r="E8" s="4"/>
      <c r="G8" t="s">
        <v>4</v>
      </c>
      <c r="H8" s="37">
        <v>0.08</v>
      </c>
      <c r="O8" s="1"/>
    </row>
    <row r="9" spans="1:15" x14ac:dyDescent="0.2">
      <c r="A9" t="s">
        <v>17</v>
      </c>
      <c r="B9" s="36">
        <f>-MAX(($B$7-$H$3),0)*0.09</f>
        <v>0</v>
      </c>
      <c r="C9" s="3">
        <f t="shared" ref="C9:C15" si="0">B9/12</f>
        <v>0</v>
      </c>
      <c r="G9" t="s">
        <v>5</v>
      </c>
      <c r="H9" s="37">
        <v>0.02</v>
      </c>
      <c r="O9" s="1"/>
    </row>
    <row r="10" spans="1:15" x14ac:dyDescent="0.2">
      <c r="A10" t="s">
        <v>18</v>
      </c>
      <c r="B10" s="36">
        <f>-0.06*MAX(($B$7-$H$4),0)</f>
        <v>0</v>
      </c>
      <c r="C10" s="3">
        <f t="shared" si="0"/>
        <v>0</v>
      </c>
      <c r="D10" t="s">
        <v>6</v>
      </c>
      <c r="E10" s="4" t="s">
        <v>7</v>
      </c>
      <c r="G10" s="8">
        <v>542</v>
      </c>
      <c r="H10" s="38">
        <v>1048</v>
      </c>
      <c r="I10" s="4">
        <f>+H10-G10</f>
        <v>506</v>
      </c>
      <c r="O10" s="1"/>
    </row>
    <row r="11" spans="1:15" x14ac:dyDescent="0.2">
      <c r="A11" t="s">
        <v>19</v>
      </c>
      <c r="B11" s="3">
        <f>C11*12</f>
        <v>0</v>
      </c>
      <c r="C11" s="4">
        <f>-SUM(E11:E13)</f>
        <v>0</v>
      </c>
      <c r="D11" s="4">
        <f>MAX(MAX($C$7-G10,0)-MAX(($C$7-H10),0),0)</f>
        <v>233</v>
      </c>
      <c r="E11" s="4">
        <f>D11*0</f>
        <v>0</v>
      </c>
      <c r="F11" s="3"/>
      <c r="G11" s="8">
        <f>H10</f>
        <v>1048</v>
      </c>
      <c r="H11" s="38">
        <v>4189</v>
      </c>
      <c r="I11" s="4">
        <f>+H11-G11</f>
        <v>3141</v>
      </c>
      <c r="O11" s="1"/>
    </row>
    <row r="12" spans="1:15" x14ac:dyDescent="0.2">
      <c r="A12" t="s">
        <v>46</v>
      </c>
      <c r="B12" s="3">
        <f>-MIN(MAX(($B$7-$E$4),0)*0.2,($H$16)*0.2)</f>
        <v>0</v>
      </c>
      <c r="C12" s="3">
        <f t="shared" si="0"/>
        <v>0</v>
      </c>
      <c r="D12" s="4">
        <f>MAX(MAX($C$7-G11,0)-MAX(($C$7-H11),0),0)</f>
        <v>0</v>
      </c>
      <c r="E12" s="4">
        <f>D12*H8</f>
        <v>0</v>
      </c>
      <c r="G12" s="8">
        <f>H11</f>
        <v>4189</v>
      </c>
      <c r="H12" s="8">
        <f>C8</f>
        <v>833.33333333333337</v>
      </c>
      <c r="O12" s="1"/>
    </row>
    <row r="13" spans="1:15" x14ac:dyDescent="0.2">
      <c r="A13" t="s">
        <v>47</v>
      </c>
      <c r="B13" s="3">
        <f>-MIN(MAX(($B$7-$E$4-$H$16),0)*0.4,($H$17-$H$16)*0.4)</f>
        <v>0</v>
      </c>
      <c r="C13" s="3">
        <f t="shared" si="0"/>
        <v>0</v>
      </c>
      <c r="D13" s="4">
        <f>MAX(C7-G12,0)</f>
        <v>0</v>
      </c>
      <c r="E13" s="4">
        <f>D13*H9</f>
        <v>0</v>
      </c>
      <c r="F13" s="4"/>
      <c r="G13" s="4"/>
      <c r="H13" s="4"/>
      <c r="I13" s="4"/>
      <c r="J13" s="4"/>
      <c r="K13" s="4"/>
    </row>
    <row r="14" spans="1:15" x14ac:dyDescent="0.2">
      <c r="A14" t="s">
        <v>48</v>
      </c>
      <c r="B14" s="3">
        <f>-MAX(($B$7-$E$4-$H$17),0)*0.45</f>
        <v>0</v>
      </c>
      <c r="C14" s="3">
        <f t="shared" si="0"/>
        <v>0</v>
      </c>
      <c r="F14" s="3"/>
      <c r="G14" t="s">
        <v>8</v>
      </c>
      <c r="H14">
        <f>100000</f>
        <v>100000</v>
      </c>
    </row>
    <row r="15" spans="1:15" x14ac:dyDescent="0.2">
      <c r="A15" t="s">
        <v>49</v>
      </c>
      <c r="B15" s="4">
        <f>SUM(B12:B14)</f>
        <v>0</v>
      </c>
      <c r="C15" s="3">
        <f t="shared" si="0"/>
        <v>0</v>
      </c>
      <c r="F15" s="4"/>
      <c r="G15" t="s">
        <v>36</v>
      </c>
      <c r="H15" s="34">
        <v>12570</v>
      </c>
      <c r="L15" s="4"/>
    </row>
    <row r="16" spans="1:15" x14ac:dyDescent="0.2">
      <c r="G16" t="s">
        <v>9</v>
      </c>
      <c r="H16">
        <f>50270-$H$15</f>
        <v>37700</v>
      </c>
      <c r="I16">
        <f>+H16*0.2</f>
        <v>7540</v>
      </c>
    </row>
    <row r="17" spans="1:8" x14ac:dyDescent="0.2">
      <c r="E17" s="9"/>
      <c r="G17" t="s">
        <v>10</v>
      </c>
      <c r="H17" s="34">
        <v>125140</v>
      </c>
    </row>
    <row r="18" spans="1:8" x14ac:dyDescent="0.2">
      <c r="A18" s="29" t="s">
        <v>29</v>
      </c>
      <c r="B18" s="29"/>
      <c r="C18" s="3"/>
      <c r="E18" s="9"/>
    </row>
    <row r="19" spans="1:8" x14ac:dyDescent="0.2">
      <c r="A19" t="s">
        <v>20</v>
      </c>
      <c r="B19" s="10">
        <f>B3+B4+B6+SUM(B9:B14)</f>
        <v>9300</v>
      </c>
    </row>
    <row r="20" spans="1:8" x14ac:dyDescent="0.2">
      <c r="A20" t="s">
        <v>21</v>
      </c>
      <c r="B20" s="11">
        <f>$B$19/12</f>
        <v>775</v>
      </c>
      <c r="D20" s="3"/>
    </row>
    <row r="21" spans="1:8" x14ac:dyDescent="0.2">
      <c r="A21" t="s">
        <v>22</v>
      </c>
      <c r="B21" s="4">
        <f>$B$19/52</f>
        <v>178.84615384615384</v>
      </c>
      <c r="D21" s="12"/>
    </row>
    <row r="22" spans="1:8" x14ac:dyDescent="0.2">
      <c r="A22" t="s">
        <v>23</v>
      </c>
      <c r="B22" s="4">
        <f>B21/35</f>
        <v>5.1098901098901095</v>
      </c>
      <c r="C22" s="13"/>
      <c r="E22" s="29" t="s">
        <v>51</v>
      </c>
      <c r="F22" s="29"/>
    </row>
    <row r="23" spans="1:8" x14ac:dyDescent="0.2">
      <c r="D23" s="4"/>
      <c r="E23" t="s">
        <v>52</v>
      </c>
      <c r="F23" s="5"/>
    </row>
    <row r="24" spans="1:8" x14ac:dyDescent="0.2">
      <c r="A24" s="29" t="s">
        <v>28</v>
      </c>
      <c r="B24" s="29"/>
      <c r="E24" t="s">
        <v>53</v>
      </c>
      <c r="F24" s="33"/>
    </row>
    <row r="25" spans="1:8" ht="52" x14ac:dyDescent="0.25">
      <c r="A25" s="14" t="s">
        <v>24</v>
      </c>
      <c r="B25" s="28">
        <f>1-B20/C8</f>
        <v>7.0000000000000062E-2</v>
      </c>
      <c r="E25" s="32" t="s">
        <v>54</v>
      </c>
      <c r="F25" s="34"/>
    </row>
    <row r="26" spans="1:8" ht="38" x14ac:dyDescent="0.25">
      <c r="A26" s="14" t="s">
        <v>25</v>
      </c>
      <c r="B26" s="28">
        <f>1-B19/(B7)</f>
        <v>0</v>
      </c>
      <c r="C26" s="12"/>
      <c r="D26" s="4"/>
    </row>
    <row r="27" spans="1:8" ht="38" x14ac:dyDescent="0.25">
      <c r="A27" s="27" t="s">
        <v>26</v>
      </c>
      <c r="B27" s="28">
        <f>-SUM(B9:B10)/B7</f>
        <v>0</v>
      </c>
    </row>
    <row r="28" spans="1:8" ht="26" x14ac:dyDescent="0.25">
      <c r="A28" s="27" t="s">
        <v>27</v>
      </c>
      <c r="B28" s="28">
        <f>-SUM(B11:B14)/B7</f>
        <v>0</v>
      </c>
      <c r="D28" s="4"/>
    </row>
    <row r="29" spans="1:8" x14ac:dyDescent="0.2">
      <c r="B29" s="3"/>
    </row>
    <row r="30" spans="1:8" x14ac:dyDescent="0.2">
      <c r="B30" s="3"/>
      <c r="C30" s="1"/>
      <c r="D30" s="15"/>
    </row>
    <row r="31" spans="1:8" x14ac:dyDescent="0.2">
      <c r="B31" s="4"/>
    </row>
    <row r="32" spans="1:8" x14ac:dyDescent="0.2">
      <c r="B32" s="4"/>
    </row>
  </sheetData>
  <mergeCells count="6">
    <mergeCell ref="A24:B24"/>
    <mergeCell ref="A18:B18"/>
    <mergeCell ref="A1:B1"/>
    <mergeCell ref="G1:I1"/>
    <mergeCell ref="E22:F22"/>
    <mergeCell ref="D2:E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227B6-384F-4C4F-94A5-2102A6B4D6E0}">
  <sheetPr codeName="Sheet3"/>
  <dimension ref="B1:J31"/>
  <sheetViews>
    <sheetView zoomScale="110" zoomScaleNormal="110" workbookViewId="0">
      <selection activeCell="E8" sqref="E8"/>
    </sheetView>
  </sheetViews>
  <sheetFormatPr baseColWidth="10" defaultColWidth="10.83203125" defaultRowHeight="16" x14ac:dyDescent="0.2"/>
  <cols>
    <col min="2" max="2" width="11.6640625" customWidth="1"/>
    <col min="3" max="3" width="12" customWidth="1"/>
    <col min="4" max="4" width="11" customWidth="1"/>
    <col min="6" max="6" width="11" bestFit="1" customWidth="1"/>
  </cols>
  <sheetData>
    <row r="1" spans="2:10" x14ac:dyDescent="0.2">
      <c r="B1" s="15" t="s">
        <v>0</v>
      </c>
      <c r="C1" s="15" t="s">
        <v>12</v>
      </c>
      <c r="D1" t="s">
        <v>11</v>
      </c>
      <c r="E1" t="s">
        <v>2</v>
      </c>
      <c r="F1" s="26" t="s">
        <v>13</v>
      </c>
      <c r="G1" s="26"/>
      <c r="H1" s="26" t="s">
        <v>14</v>
      </c>
      <c r="I1" s="26"/>
      <c r="J1" t="s">
        <v>15</v>
      </c>
    </row>
    <row r="2" spans="2:10" x14ac:dyDescent="0.2">
      <c r="B2" s="17">
        <v>10000</v>
      </c>
      <c r="C2" s="25">
        <f>B2/1000</f>
        <v>10</v>
      </c>
      <c r="D2" s="18">
        <v>9300</v>
      </c>
      <c r="E2" s="1">
        <f>D2/12</f>
        <v>775</v>
      </c>
      <c r="F2" s="19" t="s">
        <v>16</v>
      </c>
      <c r="G2" s="19" t="s">
        <v>2</v>
      </c>
      <c r="H2" s="16" t="s">
        <v>16</v>
      </c>
      <c r="I2" s="1" t="s">
        <v>2</v>
      </c>
      <c r="J2" s="12">
        <f>+D2/B2</f>
        <v>0.93</v>
      </c>
    </row>
    <row r="3" spans="2:10" x14ac:dyDescent="0.2">
      <c r="B3" s="17">
        <f>B2+10000</f>
        <v>20000</v>
      </c>
      <c r="C3" s="25">
        <f t="shared" ref="C3:C25" si="0">B3/1000</f>
        <v>20</v>
      </c>
      <c r="D3" s="18">
        <v>16912.080000000002</v>
      </c>
      <c r="E3" s="1">
        <f t="shared" ref="E3:E25" si="1">D3/12</f>
        <v>1409.3400000000001</v>
      </c>
      <c r="F3" s="19">
        <f>D3-D2</f>
        <v>7612.0800000000017</v>
      </c>
      <c r="G3" s="19">
        <f>E3-E2</f>
        <v>634.34000000000015</v>
      </c>
      <c r="H3" s="19">
        <f>D3-$D$2</f>
        <v>7612.0800000000017</v>
      </c>
      <c r="I3" s="1">
        <f>E3-$E$2</f>
        <v>634.34000000000015</v>
      </c>
      <c r="J3" s="12">
        <f t="shared" ref="J3:J25" si="2">+D3/B3</f>
        <v>0.84560400000000013</v>
      </c>
    </row>
    <row r="4" spans="2:10" x14ac:dyDescent="0.2">
      <c r="B4" s="17">
        <f t="shared" ref="B4:B25" si="3">B3+10000</f>
        <v>30000</v>
      </c>
      <c r="C4" s="25">
        <f t="shared" si="0"/>
        <v>30</v>
      </c>
      <c r="D4" s="18">
        <v>23194.080000000002</v>
      </c>
      <c r="E4" s="1">
        <f t="shared" si="1"/>
        <v>1932.8400000000001</v>
      </c>
      <c r="F4" s="19">
        <f t="shared" ref="F4:G19" si="4">D4-D3</f>
        <v>6282</v>
      </c>
      <c r="G4" s="19">
        <f t="shared" si="4"/>
        <v>523.5</v>
      </c>
      <c r="H4" s="19">
        <f t="shared" ref="H4:H25" si="5">D4-$D$2</f>
        <v>13894.080000000002</v>
      </c>
      <c r="I4" s="1">
        <f t="shared" ref="I4:I25" si="6">E4-$E$2</f>
        <v>1157.8400000000001</v>
      </c>
      <c r="J4" s="12">
        <f t="shared" si="2"/>
        <v>0.77313600000000005</v>
      </c>
    </row>
    <row r="5" spans="2:10" x14ac:dyDescent="0.2">
      <c r="B5" s="17">
        <f t="shared" si="3"/>
        <v>40000</v>
      </c>
      <c r="C5" s="25">
        <f t="shared" si="0"/>
        <v>40</v>
      </c>
      <c r="D5" s="18">
        <v>28546.38</v>
      </c>
      <c r="E5" s="1">
        <f t="shared" si="1"/>
        <v>2378.8650000000002</v>
      </c>
      <c r="F5" s="19">
        <f t="shared" si="4"/>
        <v>5352.2999999999993</v>
      </c>
      <c r="G5" s="19">
        <f t="shared" si="4"/>
        <v>446.02500000000009</v>
      </c>
      <c r="H5" s="19">
        <f t="shared" si="5"/>
        <v>19246.38</v>
      </c>
      <c r="I5" s="1">
        <f t="shared" si="6"/>
        <v>1603.8650000000002</v>
      </c>
      <c r="J5" s="12">
        <f t="shared" si="2"/>
        <v>0.7136595</v>
      </c>
    </row>
    <row r="6" spans="2:10" x14ac:dyDescent="0.2">
      <c r="B6" s="17">
        <f t="shared" si="3"/>
        <v>50000</v>
      </c>
      <c r="C6" s="25">
        <f t="shared" si="0"/>
        <v>50</v>
      </c>
      <c r="D6" s="18">
        <v>33847.379999999997</v>
      </c>
      <c r="E6" s="1">
        <f t="shared" si="1"/>
        <v>2820.6149999999998</v>
      </c>
      <c r="F6" s="19">
        <f t="shared" si="4"/>
        <v>5300.9999999999964</v>
      </c>
      <c r="G6" s="24">
        <f t="shared" si="4"/>
        <v>441.74999999999955</v>
      </c>
      <c r="H6" s="19">
        <f t="shared" si="5"/>
        <v>24547.379999999997</v>
      </c>
      <c r="I6" s="1">
        <f t="shared" si="6"/>
        <v>2045.6149999999998</v>
      </c>
      <c r="J6" s="12">
        <f t="shared" si="2"/>
        <v>0.67694759999999998</v>
      </c>
    </row>
    <row r="7" spans="2:10" x14ac:dyDescent="0.2">
      <c r="B7" s="17">
        <f t="shared" si="3"/>
        <v>60000</v>
      </c>
      <c r="C7" s="25">
        <f t="shared" si="0"/>
        <v>60</v>
      </c>
      <c r="D7" s="18">
        <v>38374.300000000003</v>
      </c>
      <c r="E7" s="1">
        <f t="shared" si="1"/>
        <v>3197.8583333333336</v>
      </c>
      <c r="F7" s="19">
        <f t="shared" si="4"/>
        <v>4526.9200000000055</v>
      </c>
      <c r="G7" s="19">
        <f t="shared" si="4"/>
        <v>377.24333333333379</v>
      </c>
      <c r="H7" s="19">
        <f t="shared" si="5"/>
        <v>29074.300000000003</v>
      </c>
      <c r="I7" s="1">
        <f t="shared" si="6"/>
        <v>2422.8583333333336</v>
      </c>
      <c r="J7" s="12">
        <f t="shared" si="2"/>
        <v>0.63957166666666676</v>
      </c>
    </row>
    <row r="8" spans="2:10" x14ac:dyDescent="0.2">
      <c r="B8" s="17">
        <f t="shared" si="3"/>
        <v>70000</v>
      </c>
      <c r="C8" s="25">
        <f t="shared" si="0"/>
        <v>70</v>
      </c>
      <c r="D8" s="18">
        <v>42373.3</v>
      </c>
      <c r="E8" s="1">
        <f t="shared" si="1"/>
        <v>3531.1083333333336</v>
      </c>
      <c r="F8" s="19">
        <f t="shared" si="4"/>
        <v>3999</v>
      </c>
      <c r="G8" s="19">
        <f t="shared" si="4"/>
        <v>333.25</v>
      </c>
      <c r="H8" s="19">
        <f t="shared" si="5"/>
        <v>33073.300000000003</v>
      </c>
      <c r="I8" s="1">
        <f t="shared" si="6"/>
        <v>2756.1083333333336</v>
      </c>
      <c r="J8" s="12">
        <f t="shared" si="2"/>
        <v>0.60533285714285723</v>
      </c>
    </row>
    <row r="9" spans="2:10" x14ac:dyDescent="0.2">
      <c r="B9" s="17">
        <f t="shared" si="3"/>
        <v>80000</v>
      </c>
      <c r="C9" s="25">
        <f t="shared" si="0"/>
        <v>80</v>
      </c>
      <c r="D9" s="18">
        <v>46372.3</v>
      </c>
      <c r="E9" s="1">
        <f t="shared" si="1"/>
        <v>3864.3583333333336</v>
      </c>
      <c r="F9" s="19">
        <f t="shared" si="4"/>
        <v>3999</v>
      </c>
      <c r="G9" s="19">
        <f t="shared" si="4"/>
        <v>333.25</v>
      </c>
      <c r="H9" s="19">
        <f t="shared" si="5"/>
        <v>37072.300000000003</v>
      </c>
      <c r="I9" s="1">
        <f t="shared" si="6"/>
        <v>3089.3583333333336</v>
      </c>
      <c r="J9" s="12">
        <f t="shared" si="2"/>
        <v>0.57965375000000008</v>
      </c>
    </row>
    <row r="10" spans="2:10" x14ac:dyDescent="0.2">
      <c r="B10" s="17">
        <f t="shared" si="3"/>
        <v>90000</v>
      </c>
      <c r="C10" s="25">
        <f t="shared" si="0"/>
        <v>90</v>
      </c>
      <c r="D10" s="18">
        <v>50371.3</v>
      </c>
      <c r="E10" s="1">
        <f t="shared" si="1"/>
        <v>4197.6083333333336</v>
      </c>
      <c r="F10" s="19">
        <f t="shared" si="4"/>
        <v>3999</v>
      </c>
      <c r="G10" s="19">
        <f t="shared" si="4"/>
        <v>333.25</v>
      </c>
      <c r="H10" s="19">
        <f t="shared" si="5"/>
        <v>41071.300000000003</v>
      </c>
      <c r="I10" s="1">
        <f t="shared" si="6"/>
        <v>3422.6083333333336</v>
      </c>
      <c r="J10" s="12">
        <f t="shared" si="2"/>
        <v>0.55968111111111118</v>
      </c>
    </row>
    <row r="11" spans="2:10" x14ac:dyDescent="0.2">
      <c r="B11" s="17">
        <f t="shared" si="3"/>
        <v>100000</v>
      </c>
      <c r="C11" s="25">
        <f t="shared" si="0"/>
        <v>100</v>
      </c>
      <c r="D11" s="18">
        <v>54370.3</v>
      </c>
      <c r="E11" s="1">
        <f t="shared" si="1"/>
        <v>4530.8583333333336</v>
      </c>
      <c r="F11" s="19">
        <f t="shared" si="4"/>
        <v>3999</v>
      </c>
      <c r="G11" s="19">
        <f t="shared" si="4"/>
        <v>333.25</v>
      </c>
      <c r="H11" s="19">
        <f t="shared" si="5"/>
        <v>45070.3</v>
      </c>
      <c r="I11" s="1">
        <f t="shared" si="6"/>
        <v>3755.8583333333336</v>
      </c>
      <c r="J11" s="12">
        <f t="shared" si="2"/>
        <v>0.54370300000000005</v>
      </c>
    </row>
    <row r="12" spans="2:10" x14ac:dyDescent="0.2">
      <c r="B12" s="17">
        <f t="shared" si="3"/>
        <v>110000</v>
      </c>
      <c r="C12" s="25">
        <f t="shared" si="0"/>
        <v>110</v>
      </c>
      <c r="D12" s="18">
        <v>57909.3</v>
      </c>
      <c r="E12" s="1">
        <f t="shared" si="1"/>
        <v>4825.7750000000005</v>
      </c>
      <c r="F12" s="19">
        <f t="shared" si="4"/>
        <v>3539</v>
      </c>
      <c r="G12" s="19">
        <f t="shared" si="4"/>
        <v>294.91666666666697</v>
      </c>
      <c r="H12" s="19">
        <f t="shared" si="5"/>
        <v>48609.3</v>
      </c>
      <c r="I12" s="1">
        <f t="shared" si="6"/>
        <v>4050.7750000000005</v>
      </c>
      <c r="J12" s="12">
        <f t="shared" si="2"/>
        <v>0.52644818181818187</v>
      </c>
    </row>
    <row r="13" spans="2:10" x14ac:dyDescent="0.2">
      <c r="B13" s="17">
        <f t="shared" si="3"/>
        <v>120000</v>
      </c>
      <c r="C13" s="25">
        <f t="shared" si="0"/>
        <v>120</v>
      </c>
      <c r="D13" s="18">
        <v>60048.3</v>
      </c>
      <c r="E13" s="1">
        <f t="shared" si="1"/>
        <v>5004.0250000000005</v>
      </c>
      <c r="F13" s="19">
        <f t="shared" si="4"/>
        <v>2139</v>
      </c>
      <c r="G13" s="19">
        <f t="shared" si="4"/>
        <v>178.25</v>
      </c>
      <c r="H13" s="19">
        <f t="shared" si="5"/>
        <v>50748.3</v>
      </c>
      <c r="I13" s="1">
        <f t="shared" si="6"/>
        <v>4229.0250000000005</v>
      </c>
      <c r="J13" s="12">
        <f t="shared" si="2"/>
        <v>0.50040249999999997</v>
      </c>
    </row>
    <row r="14" spans="2:10" x14ac:dyDescent="0.2">
      <c r="B14" s="17">
        <f t="shared" si="3"/>
        <v>130000</v>
      </c>
      <c r="C14" s="25">
        <f t="shared" si="0"/>
        <v>130</v>
      </c>
      <c r="D14" s="18">
        <v>62187.3</v>
      </c>
      <c r="E14" s="1">
        <f t="shared" si="1"/>
        <v>5182.2750000000005</v>
      </c>
      <c r="F14" s="19">
        <f t="shared" si="4"/>
        <v>2139</v>
      </c>
      <c r="G14" s="19">
        <f t="shared" si="4"/>
        <v>178.25</v>
      </c>
      <c r="H14" s="19">
        <f t="shared" si="5"/>
        <v>52887.3</v>
      </c>
      <c r="I14" s="1">
        <f t="shared" si="6"/>
        <v>4407.2750000000005</v>
      </c>
      <c r="J14" s="12">
        <f t="shared" si="2"/>
        <v>0.4783638461538462</v>
      </c>
    </row>
    <row r="15" spans="2:10" x14ac:dyDescent="0.2">
      <c r="B15" s="17">
        <f t="shared" si="3"/>
        <v>140000</v>
      </c>
      <c r="C15" s="25">
        <f t="shared" si="0"/>
        <v>140</v>
      </c>
      <c r="D15" s="18">
        <v>65085.3</v>
      </c>
      <c r="E15" s="1">
        <f t="shared" si="1"/>
        <v>5423.7750000000005</v>
      </c>
      <c r="F15" s="19">
        <f t="shared" si="4"/>
        <v>2898</v>
      </c>
      <c r="G15" s="19">
        <f t="shared" si="4"/>
        <v>241.5</v>
      </c>
      <c r="H15" s="19">
        <f t="shared" si="5"/>
        <v>55785.3</v>
      </c>
      <c r="I15" s="1">
        <f t="shared" si="6"/>
        <v>4648.7750000000005</v>
      </c>
      <c r="J15" s="12">
        <f t="shared" si="2"/>
        <v>0.464895</v>
      </c>
    </row>
    <row r="16" spans="2:10" x14ac:dyDescent="0.2">
      <c r="B16" s="17">
        <f t="shared" si="3"/>
        <v>150000</v>
      </c>
      <c r="C16" s="25">
        <f t="shared" si="0"/>
        <v>150</v>
      </c>
      <c r="D16" s="18">
        <v>68619.3</v>
      </c>
      <c r="E16" s="1">
        <f t="shared" si="1"/>
        <v>5718.2750000000005</v>
      </c>
      <c r="F16" s="19">
        <f t="shared" si="4"/>
        <v>3534</v>
      </c>
      <c r="G16" s="19">
        <f t="shared" si="4"/>
        <v>294.5</v>
      </c>
      <c r="H16" s="19">
        <f t="shared" si="5"/>
        <v>59319.3</v>
      </c>
      <c r="I16" s="1">
        <f t="shared" si="6"/>
        <v>4943.2750000000005</v>
      </c>
      <c r="J16" s="12">
        <f t="shared" si="2"/>
        <v>0.45746200000000004</v>
      </c>
    </row>
    <row r="17" spans="2:10" x14ac:dyDescent="0.2">
      <c r="B17" s="17">
        <f t="shared" si="3"/>
        <v>160000</v>
      </c>
      <c r="C17" s="25">
        <f t="shared" si="0"/>
        <v>160</v>
      </c>
      <c r="D17" s="18">
        <v>72153.3</v>
      </c>
      <c r="E17" s="1">
        <f t="shared" si="1"/>
        <v>6012.7750000000005</v>
      </c>
      <c r="F17" s="19">
        <f t="shared" si="4"/>
        <v>3534</v>
      </c>
      <c r="G17" s="19">
        <f t="shared" si="4"/>
        <v>294.5</v>
      </c>
      <c r="H17" s="19">
        <f t="shared" si="5"/>
        <v>62853.3</v>
      </c>
      <c r="I17" s="1">
        <f t="shared" si="6"/>
        <v>5237.7750000000005</v>
      </c>
      <c r="J17" s="12">
        <f t="shared" si="2"/>
        <v>0.45095812500000004</v>
      </c>
    </row>
    <row r="18" spans="2:10" x14ac:dyDescent="0.2">
      <c r="B18" s="17">
        <f t="shared" si="3"/>
        <v>170000</v>
      </c>
      <c r="C18" s="25">
        <f t="shared" si="0"/>
        <v>170</v>
      </c>
      <c r="D18" s="18">
        <v>75687.3</v>
      </c>
      <c r="E18" s="1">
        <f t="shared" si="1"/>
        <v>6307.2750000000005</v>
      </c>
      <c r="F18" s="19">
        <f t="shared" si="4"/>
        <v>3534</v>
      </c>
      <c r="G18" s="19">
        <f t="shared" si="4"/>
        <v>294.5</v>
      </c>
      <c r="H18" s="19">
        <f t="shared" si="5"/>
        <v>66387.3</v>
      </c>
      <c r="I18" s="1">
        <f t="shared" si="6"/>
        <v>5532.2750000000005</v>
      </c>
      <c r="J18" s="12">
        <f t="shared" si="2"/>
        <v>0.44521941176470592</v>
      </c>
    </row>
    <row r="19" spans="2:10" x14ac:dyDescent="0.2">
      <c r="B19" s="17">
        <f t="shared" si="3"/>
        <v>180000</v>
      </c>
      <c r="C19" s="25">
        <f t="shared" si="0"/>
        <v>180</v>
      </c>
      <c r="D19" s="18">
        <v>79221.3</v>
      </c>
      <c r="E19" s="1">
        <f t="shared" si="1"/>
        <v>6601.7750000000005</v>
      </c>
      <c r="F19" s="19">
        <f t="shared" si="4"/>
        <v>3534</v>
      </c>
      <c r="G19" s="19">
        <f t="shared" si="4"/>
        <v>294.5</v>
      </c>
      <c r="H19" s="19">
        <f t="shared" si="5"/>
        <v>69921.3</v>
      </c>
      <c r="I19" s="1">
        <f t="shared" si="6"/>
        <v>5826.7750000000005</v>
      </c>
      <c r="J19" s="12">
        <f t="shared" si="2"/>
        <v>0.44011833333333333</v>
      </c>
    </row>
    <row r="20" spans="2:10" x14ac:dyDescent="0.2">
      <c r="B20" s="17">
        <f t="shared" si="3"/>
        <v>190000</v>
      </c>
      <c r="C20" s="25">
        <f t="shared" si="0"/>
        <v>190</v>
      </c>
      <c r="D20" s="18">
        <v>82755.3</v>
      </c>
      <c r="E20" s="1">
        <f t="shared" si="1"/>
        <v>6896.2750000000005</v>
      </c>
      <c r="F20" s="19">
        <f t="shared" ref="F20:G25" si="7">D20-D19</f>
        <v>3534</v>
      </c>
      <c r="G20" s="19">
        <f t="shared" si="7"/>
        <v>294.5</v>
      </c>
      <c r="H20" s="19">
        <f t="shared" si="5"/>
        <v>73455.3</v>
      </c>
      <c r="I20" s="1">
        <f t="shared" si="6"/>
        <v>6121.2750000000005</v>
      </c>
      <c r="J20" s="12">
        <f t="shared" si="2"/>
        <v>0.43555421052631582</v>
      </c>
    </row>
    <row r="21" spans="2:10" x14ac:dyDescent="0.2">
      <c r="B21" s="17">
        <f t="shared" si="3"/>
        <v>200000</v>
      </c>
      <c r="C21" s="25">
        <f t="shared" si="0"/>
        <v>200</v>
      </c>
      <c r="D21" s="18">
        <v>86289.3</v>
      </c>
      <c r="E21" s="1">
        <f t="shared" si="1"/>
        <v>7190.7750000000005</v>
      </c>
      <c r="F21" s="19">
        <f t="shared" si="7"/>
        <v>3534</v>
      </c>
      <c r="G21" s="19">
        <f t="shared" si="7"/>
        <v>294.5</v>
      </c>
      <c r="H21" s="19">
        <f t="shared" si="5"/>
        <v>76989.3</v>
      </c>
      <c r="I21" s="1">
        <f t="shared" si="6"/>
        <v>6415.7750000000005</v>
      </c>
      <c r="J21" s="12">
        <f t="shared" si="2"/>
        <v>0.43144650000000001</v>
      </c>
    </row>
    <row r="22" spans="2:10" x14ac:dyDescent="0.2">
      <c r="B22" s="17">
        <f t="shared" si="3"/>
        <v>210000</v>
      </c>
      <c r="C22" s="25">
        <f t="shared" si="0"/>
        <v>210</v>
      </c>
      <c r="D22" s="18">
        <v>89823.3</v>
      </c>
      <c r="E22" s="1">
        <f t="shared" si="1"/>
        <v>7485.2750000000005</v>
      </c>
      <c r="F22" s="19">
        <f t="shared" si="7"/>
        <v>3534</v>
      </c>
      <c r="G22" s="19">
        <f t="shared" si="7"/>
        <v>294.5</v>
      </c>
      <c r="H22" s="19">
        <f t="shared" si="5"/>
        <v>80523.3</v>
      </c>
      <c r="I22" s="1">
        <f t="shared" si="6"/>
        <v>6710.2750000000005</v>
      </c>
      <c r="J22" s="12">
        <f t="shared" si="2"/>
        <v>0.42773</v>
      </c>
    </row>
    <row r="23" spans="2:10" x14ac:dyDescent="0.2">
      <c r="B23" s="17">
        <f t="shared" si="3"/>
        <v>220000</v>
      </c>
      <c r="C23" s="25">
        <f t="shared" si="0"/>
        <v>220</v>
      </c>
      <c r="D23" s="18">
        <v>93357.3</v>
      </c>
      <c r="E23" s="1">
        <f t="shared" si="1"/>
        <v>7779.7750000000005</v>
      </c>
      <c r="F23" s="19">
        <f t="shared" si="7"/>
        <v>3534</v>
      </c>
      <c r="G23" s="19">
        <f t="shared" si="7"/>
        <v>294.5</v>
      </c>
      <c r="H23" s="19">
        <f t="shared" si="5"/>
        <v>84057.3</v>
      </c>
      <c r="I23" s="1">
        <f t="shared" si="6"/>
        <v>7004.7750000000005</v>
      </c>
      <c r="J23" s="12">
        <f t="shared" si="2"/>
        <v>0.42435136363636367</v>
      </c>
    </row>
    <row r="24" spans="2:10" x14ac:dyDescent="0.2">
      <c r="B24" s="17">
        <f t="shared" si="3"/>
        <v>230000</v>
      </c>
      <c r="C24" s="25">
        <f t="shared" si="0"/>
        <v>230</v>
      </c>
      <c r="D24" s="18">
        <v>96891.3</v>
      </c>
      <c r="E24" s="1">
        <f t="shared" si="1"/>
        <v>8074.2750000000005</v>
      </c>
      <c r="F24" s="19">
        <f t="shared" si="7"/>
        <v>3534</v>
      </c>
      <c r="G24" s="19">
        <f t="shared" si="7"/>
        <v>294.5</v>
      </c>
      <c r="H24" s="19">
        <f t="shared" si="5"/>
        <v>87591.3</v>
      </c>
      <c r="I24" s="1">
        <f t="shared" si="6"/>
        <v>7299.2750000000005</v>
      </c>
      <c r="J24" s="12">
        <f t="shared" si="2"/>
        <v>0.42126652173913043</v>
      </c>
    </row>
    <row r="25" spans="2:10" x14ac:dyDescent="0.2">
      <c r="B25" s="17">
        <f t="shared" si="3"/>
        <v>240000</v>
      </c>
      <c r="C25" s="25">
        <f t="shared" si="0"/>
        <v>240</v>
      </c>
      <c r="D25" s="18">
        <v>100425.3</v>
      </c>
      <c r="E25" s="1">
        <f t="shared" si="1"/>
        <v>8368.7749999999996</v>
      </c>
      <c r="F25" s="19">
        <f t="shared" si="7"/>
        <v>3534</v>
      </c>
      <c r="G25" s="19">
        <f t="shared" si="7"/>
        <v>294.49999999999909</v>
      </c>
      <c r="H25" s="19">
        <f t="shared" si="5"/>
        <v>91125.3</v>
      </c>
      <c r="I25" s="1">
        <f t="shared" si="6"/>
        <v>7593.7749999999996</v>
      </c>
      <c r="J25" s="12">
        <f t="shared" si="2"/>
        <v>0.41843875000000003</v>
      </c>
    </row>
    <row r="26" spans="2:10" x14ac:dyDescent="0.2">
      <c r="B26" s="15"/>
      <c r="D26" s="15"/>
      <c r="E26" s="1"/>
      <c r="F26" s="20"/>
      <c r="I26" s="1"/>
    </row>
    <row r="27" spans="2:10" x14ac:dyDescent="0.2">
      <c r="D27" s="15"/>
      <c r="F27" s="21"/>
    </row>
    <row r="30" spans="2:10" x14ac:dyDescent="0.2">
      <c r="B30" s="22"/>
      <c r="D30" s="22"/>
      <c r="J30" s="12"/>
    </row>
    <row r="31" spans="2:10" x14ac:dyDescent="0.2">
      <c r="B31" s="23"/>
      <c r="D31" s="23"/>
      <c r="J31" s="12"/>
    </row>
  </sheetData>
  <mergeCells count="2">
    <mergeCell ref="F1:G1"/>
    <mergeCell ref="H1:I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tAxesToData">
                <anchor moveWithCells="1" sizeWithCells="1">
                  <from>
                    <xdr:col>11</xdr:col>
                    <xdr:colOff>419100</xdr:colOff>
                    <xdr:row>31</xdr:row>
                    <xdr:rowOff>101600</xdr:rowOff>
                  </from>
                  <to>
                    <xdr:col>13</xdr:col>
                    <xdr:colOff>292100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SalaryBreakdown" altText="Button 4">
                <anchor moveWithCells="1" sizeWithCells="1">
                  <from>
                    <xdr:col>13</xdr:col>
                    <xdr:colOff>723900</xdr:colOff>
                    <xdr:row>30</xdr:row>
                    <xdr:rowOff>139700</xdr:rowOff>
                  </from>
                  <to>
                    <xdr:col>15</xdr:col>
                    <xdr:colOff>711200</xdr:colOff>
                    <xdr:row>33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Salary Breakdown</vt:lpstr>
      <vt:lpstr>Net sal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Thakkar, Sameer</dc:creator>
  <cp:lastModifiedBy>Thakkar, Sameer</cp:lastModifiedBy>
  <dcterms:created xsi:type="dcterms:W3CDTF">2026-07-28T16:05:10Z</dcterms:created>
  <dcterms:modified xsi:type="dcterms:W3CDTF">2026-07-30T21:03:37Z</dcterms:modified>
</cp:coreProperties>
</file>